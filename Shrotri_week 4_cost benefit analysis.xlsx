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mas\Downloads\"/>
    </mc:Choice>
  </mc:AlternateContent>
  <xr:revisionPtr revIDLastSave="0" documentId="8_{92980DE5-6A54-4F9D-ACB8-BBACF257936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1" l="1"/>
  <c r="E33" i="1"/>
  <c r="D33" i="1"/>
  <c r="C33" i="1"/>
  <c r="B32" i="1"/>
  <c r="F32" i="1"/>
  <c r="E32" i="1"/>
  <c r="D32" i="1"/>
  <c r="C32" i="1"/>
  <c r="F31" i="1"/>
  <c r="E31" i="1"/>
  <c r="D31" i="1"/>
  <c r="C31" i="1"/>
  <c r="B31" i="1"/>
  <c r="F30" i="1"/>
  <c r="E30" i="1"/>
  <c r="D30" i="1"/>
  <c r="C30" i="1"/>
  <c r="B30" i="1"/>
  <c r="F29" i="1"/>
  <c r="E29" i="1"/>
  <c r="D29" i="1"/>
  <c r="C29" i="1"/>
  <c r="B29" i="1"/>
  <c r="F28" i="1"/>
  <c r="E28" i="1"/>
  <c r="D28" i="1"/>
  <c r="C28" i="1"/>
  <c r="B28" i="1"/>
  <c r="F18" i="1"/>
  <c r="E18" i="1"/>
  <c r="F19" i="1"/>
  <c r="E19" i="1"/>
  <c r="D19" i="1"/>
  <c r="C19" i="1"/>
  <c r="D18" i="1"/>
</calcChain>
</file>

<file path=xl/sharedStrings.xml><?xml version="1.0" encoding="utf-8"?>
<sst xmlns="http://schemas.openxmlformats.org/spreadsheetml/2006/main" count="43" uniqueCount="43">
  <si>
    <t>Category</t>
  </si>
  <si>
    <t>Development Year</t>
  </si>
  <si>
    <t>Year 1</t>
  </si>
  <si>
    <t>Year 2</t>
  </si>
  <si>
    <t>Year 3</t>
  </si>
  <si>
    <t>Year 4</t>
  </si>
  <si>
    <t>Development Costs - Personnel</t>
  </si>
  <si>
    <t>Systems Analysts (2x400hrs @ $60/hr)</t>
  </si>
  <si>
    <t>Programmer Analysts (4x250hrs @ $35/hr)</t>
  </si>
  <si>
    <t>Web Designer (200hrs @ $40/hr)</t>
  </si>
  <si>
    <t>Telecom Specialist (50hrs @ $50/hr)</t>
  </si>
  <si>
    <t>System Architect (100hrs @ $50/hr)</t>
  </si>
  <si>
    <t>Database Specialist (15hrs @ $45/hr)</t>
  </si>
  <si>
    <t>System Librarian (250hrs @ $15/hr)</t>
  </si>
  <si>
    <t>Development Costs - Training</t>
  </si>
  <si>
    <t>Oracle Training (4 seats @ $3500)</t>
  </si>
  <si>
    <t>Development Costs - Hardware/Software</t>
  </si>
  <si>
    <t>Development Server</t>
  </si>
  <si>
    <t>Server Software (OS)</t>
  </si>
  <si>
    <t>DBMS Server Software</t>
  </si>
  <si>
    <t>DBMS Client Software (7 @ $950)</t>
  </si>
  <si>
    <t>Operating Costs - Personnel</t>
  </si>
  <si>
    <t>Programmer Analysts (2x125hrs @ $35/hr)</t>
  </si>
  <si>
    <t>System Librarian (20hrs @ $15/hr)</t>
  </si>
  <si>
    <t>Operating Costs - Hardware/Software</t>
  </si>
  <si>
    <t>Server Maintenance</t>
  </si>
  <si>
    <t>DBMS Maintenance</t>
  </si>
  <si>
    <t>Preprinted Forms (15000 @ $0.22)</t>
  </si>
  <si>
    <t>Benefits</t>
  </si>
  <si>
    <t>Increased Sales</t>
  </si>
  <si>
    <t>Inventory Savings</t>
  </si>
  <si>
    <t>Totals</t>
  </si>
  <si>
    <t>Total Costs</t>
  </si>
  <si>
    <t>Total Benefits</t>
  </si>
  <si>
    <t>Net Cash Flow</t>
  </si>
  <si>
    <t>Cumulative Cash Flow</t>
  </si>
  <si>
    <t>Present Value Net Cash Flow</t>
  </si>
  <si>
    <t>Cumulative Present Value</t>
  </si>
  <si>
    <t>Present Value calculated at 4%</t>
  </si>
  <si>
    <t>NPV = –$23,540</t>
  </si>
  <si>
    <t>ROI ≈ 14%</t>
  </si>
  <si>
    <t>Break-even occurs after Year 4</t>
  </si>
  <si>
    <t>Under a strict 4-year payback rule, the project should not be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</si>
</sst>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6"/>
  <sheetViews>
    <sheetView tabSelected="1" zoomScale="86" workbookViewId="0">
      <selection activeCell="R40" sqref="R40"/>
    </sheetView>
  </sheetViews>
  <sheetFormatPr defaultRowHeight="14.4" x14ac:dyDescent="0.3"/>
  <cols>
    <col min="1" max="1" width="36.5546875" customWidth="1"/>
    <col min="2" max="2" width="16.6640625" bestFit="1" customWidth="1"/>
    <col min="3" max="3" width="7.88671875" bestFit="1" customWidth="1"/>
    <col min="4" max="4" width="9.77734375" bestFit="1" customWidth="1"/>
    <col min="5" max="5" width="8.77734375" bestFit="1" customWidth="1"/>
    <col min="6" max="6" width="7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C2">
        <v>0</v>
      </c>
      <c r="D2">
        <v>0</v>
      </c>
      <c r="E2">
        <v>0</v>
      </c>
      <c r="F2">
        <v>0</v>
      </c>
    </row>
    <row r="3" spans="1:6" x14ac:dyDescent="0.3">
      <c r="A3" t="s">
        <v>7</v>
      </c>
      <c r="B3">
        <v>48000</v>
      </c>
      <c r="C3">
        <v>0</v>
      </c>
      <c r="D3">
        <v>0</v>
      </c>
      <c r="E3">
        <v>0</v>
      </c>
      <c r="F3">
        <v>0</v>
      </c>
    </row>
    <row r="4" spans="1:6" x14ac:dyDescent="0.3">
      <c r="A4" t="s">
        <v>8</v>
      </c>
      <c r="B4">
        <v>35000</v>
      </c>
      <c r="C4">
        <v>0</v>
      </c>
      <c r="D4">
        <v>0</v>
      </c>
      <c r="E4">
        <v>0</v>
      </c>
      <c r="F4">
        <v>0</v>
      </c>
    </row>
    <row r="5" spans="1:6" x14ac:dyDescent="0.3">
      <c r="A5" t="s">
        <v>9</v>
      </c>
      <c r="B5">
        <v>8000</v>
      </c>
      <c r="C5">
        <v>0</v>
      </c>
      <c r="D5">
        <v>0</v>
      </c>
      <c r="E5">
        <v>0</v>
      </c>
      <c r="F5">
        <v>0</v>
      </c>
    </row>
    <row r="6" spans="1:6" x14ac:dyDescent="0.3">
      <c r="A6" t="s">
        <v>10</v>
      </c>
      <c r="B6">
        <v>2500</v>
      </c>
      <c r="C6">
        <v>0</v>
      </c>
      <c r="D6">
        <v>0</v>
      </c>
      <c r="E6">
        <v>0</v>
      </c>
      <c r="F6">
        <v>0</v>
      </c>
    </row>
    <row r="7" spans="1:6" x14ac:dyDescent="0.3">
      <c r="A7" t="s">
        <v>11</v>
      </c>
      <c r="B7">
        <v>5000</v>
      </c>
      <c r="C7">
        <v>0</v>
      </c>
      <c r="D7">
        <v>0</v>
      </c>
      <c r="E7">
        <v>0</v>
      </c>
      <c r="F7">
        <v>0</v>
      </c>
    </row>
    <row r="8" spans="1:6" x14ac:dyDescent="0.3">
      <c r="A8" t="s">
        <v>12</v>
      </c>
      <c r="B8">
        <v>675</v>
      </c>
      <c r="C8">
        <v>0</v>
      </c>
      <c r="D8">
        <v>0</v>
      </c>
      <c r="E8">
        <v>0</v>
      </c>
      <c r="F8">
        <v>0</v>
      </c>
    </row>
    <row r="9" spans="1:6" x14ac:dyDescent="0.3">
      <c r="A9" t="s">
        <v>13</v>
      </c>
      <c r="B9">
        <v>3750</v>
      </c>
      <c r="C9">
        <v>0</v>
      </c>
      <c r="D9">
        <v>0</v>
      </c>
      <c r="E9">
        <v>0</v>
      </c>
      <c r="F9">
        <v>0</v>
      </c>
    </row>
    <row r="10" spans="1:6" x14ac:dyDescent="0.3">
      <c r="A10" t="s">
        <v>14</v>
      </c>
      <c r="D10">
        <v>0</v>
      </c>
      <c r="E10">
        <v>0</v>
      </c>
    </row>
    <row r="11" spans="1:6" x14ac:dyDescent="0.3">
      <c r="A11" t="s">
        <v>15</v>
      </c>
      <c r="B11">
        <v>14000</v>
      </c>
      <c r="C11">
        <v>0</v>
      </c>
      <c r="D11">
        <v>0</v>
      </c>
      <c r="E11">
        <v>0</v>
      </c>
      <c r="F11">
        <v>0</v>
      </c>
    </row>
    <row r="12" spans="1:6" x14ac:dyDescent="0.3">
      <c r="A12" t="s">
        <v>16</v>
      </c>
      <c r="D12">
        <v>0</v>
      </c>
      <c r="E12">
        <v>0</v>
      </c>
    </row>
    <row r="13" spans="1:6" x14ac:dyDescent="0.3">
      <c r="A13" t="s">
        <v>17</v>
      </c>
      <c r="B13">
        <v>18700</v>
      </c>
      <c r="C13">
        <v>0</v>
      </c>
      <c r="D13">
        <v>0</v>
      </c>
      <c r="E13">
        <v>0</v>
      </c>
      <c r="F13">
        <v>0</v>
      </c>
    </row>
    <row r="14" spans="1:6" x14ac:dyDescent="0.3">
      <c r="A14" t="s">
        <v>18</v>
      </c>
      <c r="B14">
        <v>1500</v>
      </c>
      <c r="C14">
        <v>0</v>
      </c>
      <c r="D14">
        <v>0</v>
      </c>
      <c r="E14">
        <v>0</v>
      </c>
      <c r="F14">
        <v>0</v>
      </c>
    </row>
    <row r="15" spans="1:6" x14ac:dyDescent="0.3">
      <c r="A15" t="s">
        <v>19</v>
      </c>
      <c r="B15">
        <v>7500</v>
      </c>
      <c r="C15">
        <v>0</v>
      </c>
      <c r="D15">
        <v>0</v>
      </c>
      <c r="E15">
        <v>0</v>
      </c>
      <c r="F15">
        <v>0</v>
      </c>
    </row>
    <row r="16" spans="1:6" x14ac:dyDescent="0.3">
      <c r="A16" t="s">
        <v>20</v>
      </c>
      <c r="B16">
        <v>6650</v>
      </c>
      <c r="C16">
        <v>0</v>
      </c>
      <c r="D16">
        <v>0</v>
      </c>
      <c r="E16">
        <v>0</v>
      </c>
      <c r="F16">
        <v>0</v>
      </c>
    </row>
    <row r="17" spans="1:6" x14ac:dyDescent="0.3">
      <c r="A17" t="s">
        <v>21</v>
      </c>
    </row>
    <row r="18" spans="1:6" x14ac:dyDescent="0.3">
      <c r="A18" t="s">
        <v>22</v>
      </c>
      <c r="B18">
        <v>0</v>
      </c>
      <c r="C18">
        <v>8750</v>
      </c>
      <c r="D18">
        <f>C18*1.04</f>
        <v>9100</v>
      </c>
      <c r="E18">
        <f>D18*1.04</f>
        <v>9464</v>
      </c>
      <c r="F18">
        <f>E18*1.04</f>
        <v>9842.56</v>
      </c>
    </row>
    <row r="19" spans="1:6" x14ac:dyDescent="0.3">
      <c r="A19" t="s">
        <v>23</v>
      </c>
      <c r="B19">
        <v>0</v>
      </c>
      <c r="C19">
        <f>20*15</f>
        <v>300</v>
      </c>
      <c r="D19">
        <f>C19*1.04</f>
        <v>312</v>
      </c>
      <c r="E19">
        <f>D34*1.04</f>
        <v>0</v>
      </c>
      <c r="F19">
        <f>E19*1.04</f>
        <v>0</v>
      </c>
    </row>
    <row r="20" spans="1:6" x14ac:dyDescent="0.3">
      <c r="A20" t="s">
        <v>24</v>
      </c>
    </row>
    <row r="21" spans="1:6" x14ac:dyDescent="0.3">
      <c r="A21" t="s">
        <v>25</v>
      </c>
      <c r="B21">
        <v>0</v>
      </c>
      <c r="C21">
        <v>995</v>
      </c>
      <c r="D21">
        <v>995</v>
      </c>
      <c r="E21">
        <v>995</v>
      </c>
      <c r="F21">
        <v>995</v>
      </c>
    </row>
    <row r="22" spans="1:6" x14ac:dyDescent="0.3">
      <c r="A22" t="s">
        <v>26</v>
      </c>
      <c r="B22">
        <v>0</v>
      </c>
      <c r="C22">
        <v>525</v>
      </c>
      <c r="D22">
        <v>525</v>
      </c>
      <c r="E22">
        <v>525</v>
      </c>
      <c r="F22">
        <v>525</v>
      </c>
    </row>
    <row r="23" spans="1:6" x14ac:dyDescent="0.3">
      <c r="A23" t="s">
        <v>27</v>
      </c>
      <c r="B23">
        <v>0</v>
      </c>
      <c r="C23">
        <v>3300</v>
      </c>
      <c r="D23">
        <v>3300</v>
      </c>
      <c r="E23">
        <v>3300</v>
      </c>
      <c r="F23">
        <v>3300</v>
      </c>
    </row>
    <row r="24" spans="1:6" x14ac:dyDescent="0.3">
      <c r="A24" t="s">
        <v>28</v>
      </c>
    </row>
    <row r="25" spans="1:6" x14ac:dyDescent="0.3">
      <c r="A25" t="s">
        <v>29</v>
      </c>
      <c r="B25">
        <v>0</v>
      </c>
      <c r="C25">
        <v>30000</v>
      </c>
      <c r="D25">
        <v>33000</v>
      </c>
      <c r="E25">
        <v>36300</v>
      </c>
      <c r="F25">
        <v>39930</v>
      </c>
    </row>
    <row r="26" spans="1:6" x14ac:dyDescent="0.3">
      <c r="A26" t="s">
        <v>30</v>
      </c>
      <c r="B26">
        <v>0</v>
      </c>
      <c r="C26">
        <v>15000</v>
      </c>
      <c r="D26">
        <v>15000</v>
      </c>
      <c r="E26">
        <v>15000</v>
      </c>
      <c r="F26">
        <v>15000</v>
      </c>
    </row>
    <row r="27" spans="1:6" x14ac:dyDescent="0.3">
      <c r="A27" t="s">
        <v>31</v>
      </c>
    </row>
    <row r="28" spans="1:6" s="2" customFormat="1" x14ac:dyDescent="0.3">
      <c r="A28" s="2" t="s">
        <v>32</v>
      </c>
      <c r="B28" s="2">
        <f>-SUM(B2:B23)</f>
        <v>-151275</v>
      </c>
      <c r="C28" s="2">
        <f>-SUM(C2:C23)</f>
        <v>-13870</v>
      </c>
      <c r="D28" s="2">
        <f>-SUM(D2:D23)</f>
        <v>-14232</v>
      </c>
      <c r="E28" s="2">
        <f>-SUM(E2:E23)</f>
        <v>-14284</v>
      </c>
      <c r="F28" s="2">
        <f>-SUM(F2:F23)</f>
        <v>-14662.56</v>
      </c>
    </row>
    <row r="29" spans="1:6" s="2" customFormat="1" x14ac:dyDescent="0.3">
      <c r="A29" s="2" t="s">
        <v>33</v>
      </c>
      <c r="B29" s="2">
        <f>SUM(B25:B26)</f>
        <v>0</v>
      </c>
      <c r="C29" s="2">
        <f>SUM(C25:C26)</f>
        <v>45000</v>
      </c>
      <c r="D29" s="2">
        <f>SUM(D25:D26)</f>
        <v>48000</v>
      </c>
      <c r="E29" s="2">
        <f>SUM(E25:E26)</f>
        <v>51300</v>
      </c>
      <c r="F29" s="2">
        <f>SUM(F25:F26)</f>
        <v>54930</v>
      </c>
    </row>
    <row r="30" spans="1:6" s="2" customFormat="1" x14ac:dyDescent="0.3">
      <c r="A30" s="2" t="s">
        <v>34</v>
      </c>
      <c r="B30" s="2">
        <f>B29+B28</f>
        <v>-151275</v>
      </c>
      <c r="C30" s="2">
        <f>C29+C28</f>
        <v>31130</v>
      </c>
      <c r="D30" s="2">
        <f>D29+D28</f>
        <v>33768</v>
      </c>
      <c r="E30" s="2">
        <f>SUM(E28:E29)</f>
        <v>37016</v>
      </c>
      <c r="F30" s="2">
        <f>SUM(F28:F29)</f>
        <v>40267.440000000002</v>
      </c>
    </row>
    <row r="31" spans="1:6" s="2" customFormat="1" x14ac:dyDescent="0.3">
      <c r="A31" s="2" t="s">
        <v>35</v>
      </c>
      <c r="B31" s="2">
        <f>B30</f>
        <v>-151275</v>
      </c>
      <c r="C31" s="2">
        <f>B31+C30</f>
        <v>-120145</v>
      </c>
      <c r="D31" s="2">
        <f>C31+D30</f>
        <v>-86377</v>
      </c>
      <c r="E31" s="2">
        <f>D31+E30</f>
        <v>-49361</v>
      </c>
      <c r="F31" s="2">
        <f>E31+F30</f>
        <v>-9093.5599999999977</v>
      </c>
    </row>
    <row r="32" spans="1:6" s="2" customFormat="1" x14ac:dyDescent="0.3">
      <c r="A32" s="2" t="s">
        <v>36</v>
      </c>
      <c r="B32" s="2">
        <f>B30</f>
        <v>-151275</v>
      </c>
      <c r="C32" s="2">
        <f>C30/(1.04)^1</f>
        <v>29932.692307692305</v>
      </c>
      <c r="D32" s="2">
        <f>D30/(1.04)^2</f>
        <v>31220.41420118343</v>
      </c>
      <c r="E32" s="2">
        <f>E30/(1.04)^3</f>
        <v>32907.089212562583</v>
      </c>
      <c r="F32" s="2">
        <f>F30/(1.04)^4</f>
        <v>34420.776474038023</v>
      </c>
    </row>
    <row r="33" spans="1:14" s="2" customFormat="1" x14ac:dyDescent="0.3">
      <c r="A33" s="2" t="s">
        <v>37</v>
      </c>
      <c r="B33" s="2">
        <v>-151275</v>
      </c>
      <c r="C33" s="2">
        <f>B33+C32</f>
        <v>-121342.30769230769</v>
      </c>
      <c r="D33" s="2">
        <f>C33+D32</f>
        <v>-90121.893491124254</v>
      </c>
      <c r="E33" s="2">
        <f>D33+E32</f>
        <v>-57214.804278561671</v>
      </c>
      <c r="F33" s="2">
        <f>E33+F32</f>
        <v>-22794.027804523648</v>
      </c>
    </row>
    <row r="38" spans="1:14" x14ac:dyDescent="0.3">
      <c r="I38" s="3" t="s">
        <v>38</v>
      </c>
      <c r="J38" s="3"/>
      <c r="K38" s="3"/>
      <c r="L38" s="3"/>
      <c r="M38" s="3"/>
      <c r="N38" s="3"/>
    </row>
    <row r="39" spans="1:14" x14ac:dyDescent="0.3">
      <c r="I39" s="3"/>
      <c r="J39" s="3"/>
      <c r="K39" s="3"/>
      <c r="L39" s="3"/>
      <c r="M39" s="3"/>
      <c r="N39" s="3"/>
    </row>
    <row r="40" spans="1:14" x14ac:dyDescent="0.3">
      <c r="I40" s="3" t="s">
        <v>39</v>
      </c>
      <c r="J40" s="3"/>
      <c r="K40" s="3"/>
      <c r="L40" s="3"/>
      <c r="M40" s="3"/>
      <c r="N40" s="3"/>
    </row>
    <row r="41" spans="1:14" x14ac:dyDescent="0.3">
      <c r="I41" s="3"/>
      <c r="J41" s="3"/>
      <c r="K41" s="3"/>
      <c r="L41" s="3"/>
      <c r="M41" s="3"/>
      <c r="N41" s="3"/>
    </row>
    <row r="42" spans="1:14" x14ac:dyDescent="0.3">
      <c r="I42" s="3" t="s">
        <v>40</v>
      </c>
      <c r="J42" s="3"/>
      <c r="K42" s="3"/>
      <c r="L42" s="3"/>
      <c r="M42" s="3"/>
      <c r="N42" s="3"/>
    </row>
    <row r="43" spans="1:14" x14ac:dyDescent="0.3">
      <c r="I43" s="3"/>
      <c r="J43" s="3"/>
      <c r="K43" s="3"/>
      <c r="L43" s="3"/>
      <c r="M43" s="3"/>
      <c r="N43" s="3"/>
    </row>
    <row r="44" spans="1:14" x14ac:dyDescent="0.3">
      <c r="I44" s="3" t="s">
        <v>41</v>
      </c>
      <c r="J44" s="3"/>
      <c r="K44" s="3"/>
      <c r="L44" s="3"/>
      <c r="M44" s="3"/>
      <c r="N44" s="3"/>
    </row>
    <row r="45" spans="1:14" x14ac:dyDescent="0.3">
      <c r="I45" s="3"/>
      <c r="J45" s="3"/>
      <c r="K45" s="3"/>
      <c r="L45" s="3"/>
      <c r="M45" s="3"/>
      <c r="N45" s="3"/>
    </row>
    <row r="46" spans="1:14" x14ac:dyDescent="0.3">
      <c r="I46" s="3" t="s">
        <v>42</v>
      </c>
      <c r="J46" s="3"/>
      <c r="K46" s="3"/>
      <c r="L46" s="3"/>
      <c r="M46" s="3"/>
      <c r="N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 Shrotri</dc:creator>
  <cp:lastModifiedBy>Shrotri, Rama</cp:lastModifiedBy>
  <dcterms:created xsi:type="dcterms:W3CDTF">2025-02-18T03:55:33Z</dcterms:created>
  <dcterms:modified xsi:type="dcterms:W3CDTF">2026-02-15T18:47:36Z</dcterms:modified>
</cp:coreProperties>
</file>